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Honea\Documents\development\AzureRepos\datagrapher\phoenix\Benchmark\"/>
    </mc:Choice>
  </mc:AlternateContent>
  <xr:revisionPtr revIDLastSave="0" documentId="8_{13AA7A5B-88CA-4311-8BDC-B3305D7B84A9}" xr6:coauthVersionLast="47" xr6:coauthVersionMax="47" xr10:uidLastSave="{00000000-0000-0000-0000-000000000000}"/>
  <bookViews>
    <workbookView xWindow="-108" yWindow="-108" windowWidth="23256" windowHeight="12456" xr2:uid="{21E7731A-EF53-4423-BDD9-9F0045D88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L32" i="1"/>
  <c r="F32" i="1"/>
  <c r="M32" i="1" s="1"/>
  <c r="D32" i="1"/>
  <c r="L31" i="1"/>
  <c r="F31" i="1"/>
  <c r="M31" i="1" s="1"/>
  <c r="D31" i="1"/>
  <c r="L30" i="1"/>
  <c r="F30" i="1"/>
  <c r="M30" i="1" s="1"/>
  <c r="D30" i="1"/>
  <c r="M29" i="1"/>
  <c r="L29" i="1"/>
  <c r="F29" i="1"/>
  <c r="D29" i="1"/>
  <c r="L28" i="1"/>
  <c r="F28" i="1"/>
  <c r="M28" i="1" s="1"/>
  <c r="D28" i="1"/>
  <c r="L27" i="1"/>
  <c r="F27" i="1"/>
  <c r="M27" i="1" s="1"/>
  <c r="D27" i="1"/>
  <c r="L26" i="1"/>
  <c r="F26" i="1"/>
  <c r="M26" i="1" s="1"/>
  <c r="D26" i="1"/>
  <c r="L25" i="1"/>
  <c r="F25" i="1"/>
  <c r="M25" i="1" s="1"/>
  <c r="D25" i="1"/>
  <c r="L24" i="1"/>
  <c r="F24" i="1"/>
  <c r="M24" i="1" s="1"/>
  <c r="D24" i="1"/>
  <c r="L23" i="1"/>
  <c r="F23" i="1"/>
  <c r="M23" i="1" s="1"/>
  <c r="D23" i="1"/>
  <c r="L22" i="1"/>
  <c r="F22" i="1"/>
  <c r="M22" i="1" s="1"/>
  <c r="D22" i="1"/>
  <c r="M21" i="1"/>
  <c r="L21" i="1"/>
  <c r="F21" i="1"/>
  <c r="D21" i="1"/>
  <c r="M16" i="1"/>
  <c r="L20" i="1"/>
  <c r="F20" i="1"/>
  <c r="M20" i="1" s="1"/>
  <c r="D20" i="1"/>
  <c r="L19" i="1"/>
  <c r="F19" i="1"/>
  <c r="M19" i="1" s="1"/>
  <c r="D19" i="1"/>
  <c r="L18" i="1"/>
  <c r="F18" i="1"/>
  <c r="M18" i="1" s="1"/>
  <c r="D18" i="1"/>
  <c r="L17" i="1"/>
  <c r="F17" i="1"/>
  <c r="M17" i="1" s="1"/>
  <c r="D17" i="1"/>
  <c r="L16" i="1"/>
  <c r="F16" i="1"/>
  <c r="D16" i="1"/>
  <c r="L15" i="1"/>
  <c r="F15" i="1"/>
  <c r="M15" i="1" s="1"/>
  <c r="D15" i="1"/>
  <c r="D12" i="1"/>
  <c r="F12" i="1"/>
  <c r="M12" i="1" s="1"/>
  <c r="L12" i="1"/>
  <c r="D13" i="1"/>
  <c r="F13" i="1"/>
  <c r="M13" i="1" s="1"/>
  <c r="L13" i="1"/>
  <c r="D14" i="1"/>
  <c r="F14" i="1"/>
  <c r="L14" i="1"/>
  <c r="M14" i="1"/>
  <c r="M10" i="1"/>
  <c r="L11" i="1"/>
  <c r="L10" i="1"/>
  <c r="L9" i="1"/>
  <c r="D11" i="1"/>
  <c r="D10" i="1"/>
  <c r="F9" i="1"/>
  <c r="M9" i="1" s="1"/>
  <c r="F10" i="1"/>
  <c r="F11" i="1"/>
  <c r="M11" i="1" s="1"/>
  <c r="D9" i="1"/>
  <c r="D8" i="1"/>
  <c r="F8" i="1"/>
  <c r="M8" i="1" s="1"/>
  <c r="L8" i="1"/>
  <c r="L7" i="1"/>
  <c r="F7" i="1"/>
  <c r="M7" i="1" s="1"/>
  <c r="D7" i="1"/>
  <c r="M6" i="1"/>
  <c r="D3" i="1"/>
  <c r="D4" i="1"/>
  <c r="D5" i="1"/>
  <c r="D6" i="1"/>
  <c r="F3" i="1"/>
  <c r="M3" i="1" s="1"/>
  <c r="F4" i="1"/>
  <c r="M4" i="1" s="1"/>
  <c r="F5" i="1"/>
  <c r="M5" i="1" s="1"/>
  <c r="F6" i="1"/>
  <c r="F2" i="1"/>
  <c r="M2" i="1" s="1"/>
  <c r="L6" i="1"/>
  <c r="L3" i="1"/>
  <c r="L4" i="1"/>
  <c r="L5" i="1"/>
  <c r="L2" i="1"/>
  <c r="D2" i="1"/>
</calcChain>
</file>

<file path=xl/sharedStrings.xml><?xml version="1.0" encoding="utf-8"?>
<sst xmlns="http://schemas.openxmlformats.org/spreadsheetml/2006/main" count="14" uniqueCount="14">
  <si>
    <t>Samples per Message</t>
  </si>
  <si>
    <t>N-Simulators</t>
  </si>
  <si>
    <t>N-FFT's</t>
  </si>
  <si>
    <t>FFT Size</t>
  </si>
  <si>
    <t>N-Peak</t>
  </si>
  <si>
    <t>Peak Size</t>
  </si>
  <si>
    <t>Aggregate Rate (MS/s)</t>
  </si>
  <si>
    <t>Sample Rate (MS/s)</t>
  </si>
  <si>
    <t>N-Channels</t>
  </si>
  <si>
    <t>Data Rate (MB/s)</t>
  </si>
  <si>
    <t>N-Viewers</t>
  </si>
  <si>
    <t>Total Threads</t>
  </si>
  <si>
    <t>Total Channels</t>
  </si>
  <si>
    <t>Total Data Rate (GB/s)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</si>
</sst>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" formatCode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5B640A-E6C6-4AD1-8BD3-93E75965C609}" name="Table1" displayName="Table1" ref="A1:N32" totalsRowShown="0" headerRowDxfId="2">
  <autoFilter ref="A1:N32" xr:uid="{7B5B640A-E6C6-4AD1-8BD3-93E75965C6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982261F-1154-45F8-8E38-E6D8CE518545}" name="Sample Rate (MS/s)"/>
    <tableColumn id="2" xr3:uid="{9239253C-BE7B-472B-B845-138C96CB9404}" name="N-Channels"/>
    <tableColumn id="3" xr3:uid="{F68A7891-C868-46E8-8CFD-7B4F06F9F115}" name="Samples per Message"/>
    <tableColumn id="4" xr3:uid="{B6E652F7-B0DD-4935-A2DC-9378CE342929}" name="Data Rate (MB/s)" dataDxfId="1">
      <calculatedColumnFormula>((A2*1000000)*B2*4)/1024/1024</calculatedColumnFormula>
    </tableColumn>
    <tableColumn id="5" xr3:uid="{A6567013-7F0A-4D01-A2C2-694CD8E40756}" name="N-Simulators"/>
    <tableColumn id="6" xr3:uid="{139E8C74-DF9F-4F36-84C7-DC94147E0F50}" name="Total Channels">
      <calculatedColumnFormula>E2*B2</calculatedColumnFormula>
    </tableColumn>
    <tableColumn id="7" xr3:uid="{26ABFB87-7ADD-44DC-A3C6-F09A25B3FDDD}" name="N-FFT's"/>
    <tableColumn id="8" xr3:uid="{0EE4FFDE-5E2A-46EF-83EC-DFA862AA46A2}" name="FFT Size"/>
    <tableColumn id="9" xr3:uid="{B87C02A9-3C68-490D-A4CB-876259F11644}" name="N-Peak"/>
    <tableColumn id="10" xr3:uid="{E06165EB-6D5B-4BBC-875E-01F90C136E2B}" name="Peak Size"/>
    <tableColumn id="11" xr3:uid="{511FD65A-FD30-4478-B30B-DE6C98E73E06}" name="N-Viewers"/>
    <tableColumn id="12" xr3:uid="{90011FC1-6029-4993-B751-97950A00BD41}" name="Total Threads">
      <calculatedColumnFormula>K2+I2+G2+E2</calculatedColumnFormula>
    </tableColumn>
    <tableColumn id="13" xr3:uid="{2F3CCAAB-FBCA-4105-80D4-61CA6E54E6FB}" name="Aggregate Rate (MS/s)">
      <calculatedColumnFormula>F2*A2</calculatedColumnFormula>
    </tableColumn>
    <tableColumn id="14" xr3:uid="{D41393FE-9AB2-4B0D-8133-A47659D6BD74}" name="Total Data Rate (GB/s)" dataDxfId="0">
      <calculatedColumnFormula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DA0A-653B-49A9-A36F-0B686A2309E4}">
  <dimension ref="A1:N32"/>
  <sheetViews>
    <sheetView tabSelected="1" workbookViewId="0">
      <selection activeCell="P15" sqref="P15"/>
    </sheetView>
  </sheetViews>
  <sheetFormatPr defaultRowHeight="14.4" x14ac:dyDescent="0.3"/>
  <cols>
    <col min="1" max="1" width="11.77734375" customWidth="1"/>
    <col min="2" max="2" width="9.77734375" customWidth="1"/>
    <col min="3" max="3" width="12" customWidth="1"/>
    <col min="4" max="4" width="10.21875" customWidth="1"/>
    <col min="5" max="5" width="9.6640625" customWidth="1"/>
    <col min="6" max="6" width="8.5546875" customWidth="1"/>
    <col min="7" max="7" width="8.88671875" customWidth="1"/>
    <col min="8" max="8" width="9.21875" customWidth="1"/>
    <col min="9" max="9" width="8.77734375" customWidth="1"/>
    <col min="10" max="10" width="7.77734375" customWidth="1"/>
    <col min="11" max="11" width="9.21875" customWidth="1"/>
    <col min="12" max="12" width="9.6640625" customWidth="1"/>
    <col min="13" max="13" width="13.21875" customWidth="1"/>
    <col min="14" max="14" width="13.109375" customWidth="1"/>
  </cols>
  <sheetData>
    <row r="1" spans="1:14" ht="31.2" customHeight="1" x14ac:dyDescent="0.3">
      <c r="A1" s="1" t="s">
        <v>7</v>
      </c>
      <c r="B1" s="1" t="s">
        <v>8</v>
      </c>
      <c r="C1" s="1" t="s">
        <v>0</v>
      </c>
      <c r="D1" s="1" t="s">
        <v>9</v>
      </c>
      <c r="E1" s="1" t="s">
        <v>1</v>
      </c>
      <c r="F1" s="1" t="s">
        <v>12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10</v>
      </c>
      <c r="L1" s="1" t="s">
        <v>11</v>
      </c>
      <c r="M1" s="1" t="s">
        <v>6</v>
      </c>
      <c r="N1" s="1" t="s">
        <v>13</v>
      </c>
    </row>
    <row r="2" spans="1:14" x14ac:dyDescent="0.3">
      <c r="A2">
        <v>3</v>
      </c>
      <c r="B2">
        <v>1000</v>
      </c>
      <c r="C2">
        <v>1024</v>
      </c>
      <c r="D2" s="2">
        <f>((A2*1000000)*B2*4)/1024/1024</f>
        <v>11444.091796875</v>
      </c>
      <c r="E2">
        <v>1</v>
      </c>
      <c r="F2">
        <f>E2*B2</f>
        <v>1000</v>
      </c>
      <c r="G2">
        <v>0</v>
      </c>
      <c r="H2">
        <v>0</v>
      </c>
      <c r="I2">
        <v>0</v>
      </c>
      <c r="J2">
        <v>0</v>
      </c>
      <c r="K2">
        <v>0</v>
      </c>
      <c r="L2">
        <f>K2+I2+G2+E2</f>
        <v>1</v>
      </c>
      <c r="M2">
        <f>F2*A2</f>
        <v>3000</v>
      </c>
      <c r="N2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11.175870895385742</v>
      </c>
    </row>
    <row r="3" spans="1:14" x14ac:dyDescent="0.3">
      <c r="A3">
        <v>3</v>
      </c>
      <c r="B3">
        <v>1000</v>
      </c>
      <c r="C3">
        <v>1024</v>
      </c>
      <c r="D3" s="2">
        <f t="shared" ref="D3:D7" si="0">((A3*1000000)*B3*4)/1024/1024</f>
        <v>11444.091796875</v>
      </c>
      <c r="E3">
        <v>2</v>
      </c>
      <c r="F3">
        <f t="shared" ref="F3:F7" si="1">E3*B3</f>
        <v>2000</v>
      </c>
      <c r="G3">
        <v>0</v>
      </c>
      <c r="H3">
        <v>0</v>
      </c>
      <c r="I3">
        <v>0</v>
      </c>
      <c r="J3">
        <v>0</v>
      </c>
      <c r="K3">
        <v>0</v>
      </c>
      <c r="L3">
        <f t="shared" ref="L3:L7" si="2">K3+I3+G3+E3</f>
        <v>2</v>
      </c>
      <c r="M3">
        <f t="shared" ref="M3:M7" si="3">F3*A3</f>
        <v>6000</v>
      </c>
      <c r="N3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22.351741790771484</v>
      </c>
    </row>
    <row r="4" spans="1:14" x14ac:dyDescent="0.3">
      <c r="A4">
        <v>2</v>
      </c>
      <c r="B4">
        <v>1000</v>
      </c>
      <c r="C4">
        <v>1024</v>
      </c>
      <c r="D4" s="2">
        <f t="shared" si="0"/>
        <v>7629.39453125</v>
      </c>
      <c r="E4">
        <v>3</v>
      </c>
      <c r="F4">
        <f t="shared" si="1"/>
        <v>3000</v>
      </c>
      <c r="G4">
        <v>0</v>
      </c>
      <c r="H4">
        <v>0</v>
      </c>
      <c r="I4">
        <v>0</v>
      </c>
      <c r="J4">
        <v>0</v>
      </c>
      <c r="K4">
        <v>0</v>
      </c>
      <c r="L4">
        <f t="shared" si="2"/>
        <v>3</v>
      </c>
      <c r="M4">
        <f t="shared" si="3"/>
        <v>6000</v>
      </c>
      <c r="N4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22.351741790771484</v>
      </c>
    </row>
    <row r="5" spans="1:14" x14ac:dyDescent="0.3">
      <c r="A5">
        <v>1.5</v>
      </c>
      <c r="B5">
        <v>1000</v>
      </c>
      <c r="C5">
        <v>1024</v>
      </c>
      <c r="D5" s="2">
        <f t="shared" si="0"/>
        <v>5722.0458984375</v>
      </c>
      <c r="E5">
        <v>4</v>
      </c>
      <c r="F5">
        <f t="shared" si="1"/>
        <v>4000</v>
      </c>
      <c r="G5">
        <v>0</v>
      </c>
      <c r="H5">
        <v>0</v>
      </c>
      <c r="I5">
        <v>0</v>
      </c>
      <c r="J5">
        <v>0</v>
      </c>
      <c r="K5">
        <v>0</v>
      </c>
      <c r="L5">
        <f t="shared" si="2"/>
        <v>4</v>
      </c>
      <c r="M5">
        <f t="shared" si="3"/>
        <v>6000</v>
      </c>
      <c r="N5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22.351741790771484</v>
      </c>
    </row>
    <row r="6" spans="1:14" x14ac:dyDescent="0.3">
      <c r="A6">
        <v>1</v>
      </c>
      <c r="B6">
        <v>500</v>
      </c>
      <c r="C6">
        <v>1024</v>
      </c>
      <c r="D6" s="2">
        <f t="shared" si="0"/>
        <v>1907.3486328125</v>
      </c>
      <c r="E6">
        <v>1</v>
      </c>
      <c r="F6">
        <f t="shared" si="1"/>
        <v>500</v>
      </c>
      <c r="G6">
        <v>0</v>
      </c>
      <c r="H6">
        <v>0</v>
      </c>
      <c r="I6">
        <v>0</v>
      </c>
      <c r="J6">
        <v>0</v>
      </c>
      <c r="K6">
        <v>1</v>
      </c>
      <c r="L6">
        <f t="shared" si="2"/>
        <v>2</v>
      </c>
      <c r="M6">
        <f t="shared" si="3"/>
        <v>500</v>
      </c>
      <c r="N6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3.7252902984619141</v>
      </c>
    </row>
    <row r="7" spans="1:14" x14ac:dyDescent="0.3">
      <c r="A7">
        <v>1</v>
      </c>
      <c r="B7">
        <v>300</v>
      </c>
      <c r="C7">
        <v>1024</v>
      </c>
      <c r="D7" s="2">
        <f t="shared" si="0"/>
        <v>1144.4091796875</v>
      </c>
      <c r="E7">
        <v>2</v>
      </c>
      <c r="F7">
        <f t="shared" si="1"/>
        <v>600</v>
      </c>
      <c r="G7">
        <v>0</v>
      </c>
      <c r="H7">
        <v>0</v>
      </c>
      <c r="I7">
        <v>0</v>
      </c>
      <c r="J7">
        <v>0</v>
      </c>
      <c r="K7">
        <v>1</v>
      </c>
      <c r="L7">
        <f t="shared" si="2"/>
        <v>3</v>
      </c>
      <c r="M7">
        <f t="shared" si="3"/>
        <v>600</v>
      </c>
      <c r="N7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4.4703483581542969</v>
      </c>
    </row>
    <row r="8" spans="1:14" x14ac:dyDescent="0.3">
      <c r="A8">
        <v>1</v>
      </c>
      <c r="B8">
        <v>400</v>
      </c>
      <c r="C8">
        <v>1024</v>
      </c>
      <c r="D8" s="2">
        <f t="shared" ref="D8:D11" si="4">((A8*1000000)*B8*4)/1024/1024</f>
        <v>1525.87890625</v>
      </c>
      <c r="E8">
        <v>2</v>
      </c>
      <c r="F8">
        <f t="shared" ref="F8:F12" si="5">E8*B8</f>
        <v>800</v>
      </c>
      <c r="G8">
        <v>0</v>
      </c>
      <c r="H8">
        <v>0</v>
      </c>
      <c r="I8">
        <v>0</v>
      </c>
      <c r="J8">
        <v>0</v>
      </c>
      <c r="K8">
        <v>2</v>
      </c>
      <c r="L8">
        <f t="shared" ref="L8:L11" si="6">K8+I8+G8+E8</f>
        <v>4</v>
      </c>
      <c r="M8">
        <f t="shared" ref="M8:M11" si="7">F8*A8</f>
        <v>800</v>
      </c>
      <c r="N8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5.9604644775390625</v>
      </c>
    </row>
    <row r="9" spans="1:14" x14ac:dyDescent="0.3">
      <c r="A9">
        <v>1</v>
      </c>
      <c r="B9">
        <v>300</v>
      </c>
      <c r="C9">
        <v>1024</v>
      </c>
      <c r="D9" s="2">
        <f t="shared" si="4"/>
        <v>1144.4091796875</v>
      </c>
      <c r="E9">
        <v>1</v>
      </c>
      <c r="F9">
        <f t="shared" si="5"/>
        <v>300</v>
      </c>
      <c r="G9">
        <v>1</v>
      </c>
      <c r="H9">
        <v>1024</v>
      </c>
      <c r="I9">
        <v>0</v>
      </c>
      <c r="J9">
        <v>0</v>
      </c>
      <c r="K9">
        <v>0</v>
      </c>
      <c r="L9">
        <f t="shared" si="6"/>
        <v>2</v>
      </c>
      <c r="M9">
        <f t="shared" si="7"/>
        <v>300</v>
      </c>
      <c r="N9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2.2351741790771484</v>
      </c>
    </row>
    <row r="10" spans="1:14" x14ac:dyDescent="0.3">
      <c r="A10">
        <v>1</v>
      </c>
      <c r="B10">
        <v>250</v>
      </c>
      <c r="C10">
        <v>1024</v>
      </c>
      <c r="D10" s="2">
        <f t="shared" si="4"/>
        <v>953.67431640625</v>
      </c>
      <c r="E10">
        <v>2</v>
      </c>
      <c r="F10">
        <f t="shared" si="5"/>
        <v>500</v>
      </c>
      <c r="G10">
        <v>2</v>
      </c>
      <c r="H10">
        <v>1024</v>
      </c>
      <c r="I10">
        <v>0</v>
      </c>
      <c r="J10">
        <v>0</v>
      </c>
      <c r="K10">
        <v>0</v>
      </c>
      <c r="L10">
        <f t="shared" si="6"/>
        <v>4</v>
      </c>
      <c r="M10">
        <f t="shared" si="7"/>
        <v>500</v>
      </c>
      <c r="N10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3.7252902984619141</v>
      </c>
    </row>
    <row r="11" spans="1:14" x14ac:dyDescent="0.3">
      <c r="A11">
        <v>1</v>
      </c>
      <c r="B11">
        <v>350</v>
      </c>
      <c r="C11">
        <v>1024</v>
      </c>
      <c r="D11" s="2">
        <f t="shared" si="4"/>
        <v>1335.14404296875</v>
      </c>
      <c r="E11">
        <v>2</v>
      </c>
      <c r="F11">
        <f t="shared" si="5"/>
        <v>700</v>
      </c>
      <c r="G11">
        <v>4</v>
      </c>
      <c r="H11">
        <v>1024</v>
      </c>
      <c r="I11">
        <v>0</v>
      </c>
      <c r="J11">
        <v>0</v>
      </c>
      <c r="K11">
        <v>0</v>
      </c>
      <c r="L11">
        <f t="shared" si="6"/>
        <v>6</v>
      </c>
      <c r="M11">
        <f t="shared" si="7"/>
        <v>700</v>
      </c>
      <c r="N11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5.2154064178466797</v>
      </c>
    </row>
    <row r="12" spans="1:14" x14ac:dyDescent="0.3">
      <c r="A12">
        <v>1</v>
      </c>
      <c r="B12">
        <v>300</v>
      </c>
      <c r="C12">
        <v>1024</v>
      </c>
      <c r="D12" s="2">
        <f t="shared" ref="D12:D27" si="8">((A12*1000000)*B12*4)/1024/1024</f>
        <v>1144.4091796875</v>
      </c>
      <c r="E12">
        <v>1</v>
      </c>
      <c r="F12">
        <f t="shared" ref="F12:F27" si="9">E12*B12</f>
        <v>300</v>
      </c>
      <c r="G12">
        <v>1</v>
      </c>
      <c r="H12">
        <v>4096</v>
      </c>
      <c r="I12">
        <v>0</v>
      </c>
      <c r="J12">
        <v>0</v>
      </c>
      <c r="K12">
        <v>0</v>
      </c>
      <c r="L12">
        <f t="shared" ref="L12:L27" si="10">K12+I12+G12+E12</f>
        <v>2</v>
      </c>
      <c r="M12">
        <f t="shared" ref="M12:M27" si="11">F12*A12</f>
        <v>300</v>
      </c>
      <c r="N12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2.2351741790771484</v>
      </c>
    </row>
    <row r="13" spans="1:14" x14ac:dyDescent="0.3">
      <c r="A13">
        <v>1</v>
      </c>
      <c r="B13">
        <v>200</v>
      </c>
      <c r="C13">
        <v>1024</v>
      </c>
      <c r="D13" s="2">
        <f t="shared" si="8"/>
        <v>762.939453125</v>
      </c>
      <c r="E13">
        <v>2</v>
      </c>
      <c r="F13">
        <f t="shared" si="9"/>
        <v>400</v>
      </c>
      <c r="G13">
        <v>2</v>
      </c>
      <c r="H13">
        <v>4096</v>
      </c>
      <c r="I13">
        <v>0</v>
      </c>
      <c r="J13">
        <v>0</v>
      </c>
      <c r="K13">
        <v>0</v>
      </c>
      <c r="L13">
        <f t="shared" si="10"/>
        <v>4</v>
      </c>
      <c r="M13">
        <f t="shared" si="11"/>
        <v>400</v>
      </c>
      <c r="N13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2.9802322387695313</v>
      </c>
    </row>
    <row r="14" spans="1:14" x14ac:dyDescent="0.3">
      <c r="A14">
        <v>1</v>
      </c>
      <c r="B14">
        <v>250</v>
      </c>
      <c r="C14">
        <v>1024</v>
      </c>
      <c r="D14" s="2">
        <f t="shared" si="8"/>
        <v>953.67431640625</v>
      </c>
      <c r="E14">
        <v>2</v>
      </c>
      <c r="F14">
        <f t="shared" si="9"/>
        <v>500</v>
      </c>
      <c r="G14">
        <v>4</v>
      </c>
      <c r="H14">
        <v>4096</v>
      </c>
      <c r="I14">
        <v>0</v>
      </c>
      <c r="J14">
        <v>0</v>
      </c>
      <c r="K14">
        <v>0</v>
      </c>
      <c r="L14">
        <f t="shared" si="10"/>
        <v>6</v>
      </c>
      <c r="M14">
        <f t="shared" si="11"/>
        <v>500</v>
      </c>
      <c r="N14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3.7252902984619141</v>
      </c>
    </row>
    <row r="15" spans="1:14" x14ac:dyDescent="0.3">
      <c r="A15">
        <v>1</v>
      </c>
      <c r="B15">
        <v>200</v>
      </c>
      <c r="C15">
        <v>1024</v>
      </c>
      <c r="D15" s="2">
        <f t="shared" si="8"/>
        <v>762.939453125</v>
      </c>
      <c r="E15">
        <v>1</v>
      </c>
      <c r="F15">
        <f t="shared" si="9"/>
        <v>200</v>
      </c>
      <c r="G15">
        <v>1</v>
      </c>
      <c r="H15">
        <v>1024</v>
      </c>
      <c r="I15">
        <v>0</v>
      </c>
      <c r="J15">
        <v>0</v>
      </c>
      <c r="K15">
        <v>1</v>
      </c>
      <c r="L15">
        <f t="shared" si="10"/>
        <v>3</v>
      </c>
      <c r="M15">
        <f t="shared" si="11"/>
        <v>200</v>
      </c>
      <c r="N15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2.2351741790771484</v>
      </c>
    </row>
    <row r="16" spans="1:14" x14ac:dyDescent="0.3">
      <c r="A16">
        <v>1</v>
      </c>
      <c r="B16">
        <v>100</v>
      </c>
      <c r="C16">
        <v>1024</v>
      </c>
      <c r="D16" s="2">
        <f t="shared" si="8"/>
        <v>381.4697265625</v>
      </c>
      <c r="E16">
        <v>2</v>
      </c>
      <c r="F16">
        <f t="shared" si="9"/>
        <v>200</v>
      </c>
      <c r="G16">
        <v>2</v>
      </c>
      <c r="H16">
        <v>1024</v>
      </c>
      <c r="I16">
        <v>0</v>
      </c>
      <c r="J16">
        <v>0</v>
      </c>
      <c r="K16">
        <v>1</v>
      </c>
      <c r="L16">
        <f t="shared" si="10"/>
        <v>5</v>
      </c>
      <c r="M16">
        <f t="shared" si="11"/>
        <v>200</v>
      </c>
      <c r="N16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2.2351741790771484</v>
      </c>
    </row>
    <row r="17" spans="1:14" x14ac:dyDescent="0.3">
      <c r="A17">
        <v>1</v>
      </c>
      <c r="B17">
        <v>100</v>
      </c>
      <c r="C17">
        <v>1024</v>
      </c>
      <c r="D17" s="2">
        <f t="shared" si="8"/>
        <v>381.4697265625</v>
      </c>
      <c r="E17">
        <v>2</v>
      </c>
      <c r="F17">
        <f t="shared" si="9"/>
        <v>200</v>
      </c>
      <c r="G17">
        <v>4</v>
      </c>
      <c r="H17">
        <v>1024</v>
      </c>
      <c r="I17">
        <v>0</v>
      </c>
      <c r="J17">
        <v>0</v>
      </c>
      <c r="K17">
        <v>1</v>
      </c>
      <c r="L17">
        <f t="shared" si="10"/>
        <v>7</v>
      </c>
      <c r="M17">
        <f t="shared" si="11"/>
        <v>200</v>
      </c>
      <c r="N17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2.2351741790771484</v>
      </c>
    </row>
    <row r="18" spans="1:14" x14ac:dyDescent="0.3">
      <c r="A18">
        <v>1</v>
      </c>
      <c r="B18">
        <v>100</v>
      </c>
      <c r="C18">
        <v>1024</v>
      </c>
      <c r="D18" s="2">
        <f t="shared" ref="D18:D29" si="12">((A18*1000000)*B18*4)/1024/1024</f>
        <v>381.4697265625</v>
      </c>
      <c r="E18">
        <v>1</v>
      </c>
      <c r="F18">
        <f t="shared" ref="F18:F29" si="13">E18*B18</f>
        <v>100</v>
      </c>
      <c r="G18">
        <v>1</v>
      </c>
      <c r="H18">
        <v>4096</v>
      </c>
      <c r="I18">
        <v>0</v>
      </c>
      <c r="J18">
        <v>0</v>
      </c>
      <c r="K18">
        <v>1</v>
      </c>
      <c r="L18">
        <f t="shared" ref="L18:L29" si="14">K18+I18+G18+E18</f>
        <v>3</v>
      </c>
      <c r="M18">
        <f t="shared" ref="M18:M29" si="15">F18*A18</f>
        <v>100</v>
      </c>
      <c r="N18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1.1175870895385742</v>
      </c>
    </row>
    <row r="19" spans="1:14" x14ac:dyDescent="0.3">
      <c r="A19">
        <v>1</v>
      </c>
      <c r="B19">
        <v>50</v>
      </c>
      <c r="C19">
        <v>1024</v>
      </c>
      <c r="D19" s="2">
        <f t="shared" si="12"/>
        <v>190.73486328125</v>
      </c>
      <c r="E19">
        <v>2</v>
      </c>
      <c r="F19">
        <f t="shared" si="13"/>
        <v>100</v>
      </c>
      <c r="G19">
        <v>2</v>
      </c>
      <c r="H19">
        <v>4096</v>
      </c>
      <c r="I19">
        <v>0</v>
      </c>
      <c r="J19">
        <v>0</v>
      </c>
      <c r="K19">
        <v>1</v>
      </c>
      <c r="L19">
        <f t="shared" si="14"/>
        <v>5</v>
      </c>
      <c r="M19">
        <f t="shared" si="15"/>
        <v>100</v>
      </c>
      <c r="N19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1.1175870895385742</v>
      </c>
    </row>
    <row r="20" spans="1:14" x14ac:dyDescent="0.3">
      <c r="A20">
        <v>1</v>
      </c>
      <c r="B20">
        <v>50</v>
      </c>
      <c r="C20">
        <v>1024</v>
      </c>
      <c r="D20" s="2">
        <f t="shared" si="12"/>
        <v>190.73486328125</v>
      </c>
      <c r="E20">
        <v>2</v>
      </c>
      <c r="F20">
        <f t="shared" si="13"/>
        <v>100</v>
      </c>
      <c r="G20">
        <v>4</v>
      </c>
      <c r="H20">
        <v>4096</v>
      </c>
      <c r="I20">
        <v>0</v>
      </c>
      <c r="J20">
        <v>0</v>
      </c>
      <c r="K20">
        <v>1</v>
      </c>
      <c r="L20">
        <f t="shared" si="14"/>
        <v>7</v>
      </c>
      <c r="M20">
        <f t="shared" si="15"/>
        <v>100</v>
      </c>
      <c r="N20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1.1175870895385742</v>
      </c>
    </row>
    <row r="21" spans="1:14" x14ac:dyDescent="0.3">
      <c r="A21">
        <v>1</v>
      </c>
      <c r="B21">
        <v>300</v>
      </c>
      <c r="C21">
        <v>1024</v>
      </c>
      <c r="D21" s="2">
        <f t="shared" si="12"/>
        <v>1144.4091796875</v>
      </c>
      <c r="E21">
        <v>1</v>
      </c>
      <c r="F21">
        <f t="shared" si="13"/>
        <v>300</v>
      </c>
      <c r="G21">
        <v>1</v>
      </c>
      <c r="H21">
        <v>1024</v>
      </c>
      <c r="I21">
        <v>1</v>
      </c>
      <c r="J21">
        <v>32</v>
      </c>
      <c r="K21">
        <v>0</v>
      </c>
      <c r="L21">
        <f t="shared" si="14"/>
        <v>3</v>
      </c>
      <c r="M21">
        <f t="shared" si="15"/>
        <v>300</v>
      </c>
      <c r="N21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2.2352099418640137</v>
      </c>
    </row>
    <row r="22" spans="1:14" x14ac:dyDescent="0.3">
      <c r="A22">
        <v>1</v>
      </c>
      <c r="B22">
        <v>250</v>
      </c>
      <c r="C22">
        <v>1024</v>
      </c>
      <c r="D22" s="2">
        <f t="shared" si="12"/>
        <v>953.67431640625</v>
      </c>
      <c r="E22">
        <v>2</v>
      </c>
      <c r="F22">
        <f t="shared" si="13"/>
        <v>500</v>
      </c>
      <c r="G22">
        <v>2</v>
      </c>
      <c r="H22">
        <v>1024</v>
      </c>
      <c r="I22">
        <v>2</v>
      </c>
      <c r="J22">
        <v>32</v>
      </c>
      <c r="K22">
        <v>0</v>
      </c>
      <c r="L22">
        <f t="shared" si="14"/>
        <v>6</v>
      </c>
      <c r="M22">
        <f t="shared" si="15"/>
        <v>500</v>
      </c>
      <c r="N22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3.7253499031066895</v>
      </c>
    </row>
    <row r="23" spans="1:14" x14ac:dyDescent="0.3">
      <c r="A23">
        <v>1</v>
      </c>
      <c r="B23">
        <v>350</v>
      </c>
      <c r="C23">
        <v>1024</v>
      </c>
      <c r="D23" s="2">
        <f t="shared" si="12"/>
        <v>1335.14404296875</v>
      </c>
      <c r="E23">
        <v>2</v>
      </c>
      <c r="F23">
        <f t="shared" si="13"/>
        <v>700</v>
      </c>
      <c r="G23">
        <v>4</v>
      </c>
      <c r="H23">
        <v>1024</v>
      </c>
      <c r="I23">
        <v>4</v>
      </c>
      <c r="J23">
        <v>32</v>
      </c>
      <c r="K23">
        <v>0</v>
      </c>
      <c r="L23">
        <f t="shared" si="14"/>
        <v>10</v>
      </c>
      <c r="M23">
        <f t="shared" si="15"/>
        <v>700</v>
      </c>
      <c r="N23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5.2154898643493652</v>
      </c>
    </row>
    <row r="24" spans="1:14" x14ac:dyDescent="0.3">
      <c r="A24">
        <v>1</v>
      </c>
      <c r="B24">
        <v>300</v>
      </c>
      <c r="C24">
        <v>1024</v>
      </c>
      <c r="D24" s="2">
        <f t="shared" si="12"/>
        <v>1144.4091796875</v>
      </c>
      <c r="E24">
        <v>1</v>
      </c>
      <c r="F24">
        <f t="shared" si="13"/>
        <v>300</v>
      </c>
      <c r="G24">
        <v>1</v>
      </c>
      <c r="H24">
        <v>4096</v>
      </c>
      <c r="I24">
        <v>1</v>
      </c>
      <c r="J24">
        <v>32</v>
      </c>
      <c r="K24">
        <v>0</v>
      </c>
      <c r="L24">
        <f t="shared" si="14"/>
        <v>3</v>
      </c>
      <c r="M24">
        <f t="shared" si="15"/>
        <v>300</v>
      </c>
      <c r="N24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2.2352099418640137</v>
      </c>
    </row>
    <row r="25" spans="1:14" x14ac:dyDescent="0.3">
      <c r="A25">
        <v>1</v>
      </c>
      <c r="B25">
        <v>200</v>
      </c>
      <c r="C25">
        <v>1024</v>
      </c>
      <c r="D25" s="2">
        <f t="shared" si="12"/>
        <v>762.939453125</v>
      </c>
      <c r="E25">
        <v>2</v>
      </c>
      <c r="F25">
        <f t="shared" si="13"/>
        <v>400</v>
      </c>
      <c r="G25">
        <v>2</v>
      </c>
      <c r="H25">
        <v>4096</v>
      </c>
      <c r="I25">
        <v>2</v>
      </c>
      <c r="J25">
        <v>32</v>
      </c>
      <c r="K25">
        <v>0</v>
      </c>
      <c r="L25">
        <f t="shared" si="14"/>
        <v>6</v>
      </c>
      <c r="M25">
        <f t="shared" si="15"/>
        <v>400</v>
      </c>
      <c r="N25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2.9802799224853516</v>
      </c>
    </row>
    <row r="26" spans="1:14" x14ac:dyDescent="0.3">
      <c r="A26">
        <v>1</v>
      </c>
      <c r="B26">
        <v>250</v>
      </c>
      <c r="C26">
        <v>1024</v>
      </c>
      <c r="D26" s="2">
        <f t="shared" si="12"/>
        <v>953.67431640625</v>
      </c>
      <c r="E26">
        <v>2</v>
      </c>
      <c r="F26">
        <f t="shared" si="13"/>
        <v>500</v>
      </c>
      <c r="G26">
        <v>4</v>
      </c>
      <c r="H26">
        <v>4096</v>
      </c>
      <c r="I26">
        <v>4</v>
      </c>
      <c r="J26">
        <v>32</v>
      </c>
      <c r="K26">
        <v>0</v>
      </c>
      <c r="L26">
        <f t="shared" si="14"/>
        <v>10</v>
      </c>
      <c r="M26">
        <f t="shared" si="15"/>
        <v>500</v>
      </c>
      <c r="N26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3.7253499031066895</v>
      </c>
    </row>
    <row r="27" spans="1:14" x14ac:dyDescent="0.3">
      <c r="A27">
        <v>1</v>
      </c>
      <c r="B27">
        <v>200</v>
      </c>
      <c r="C27">
        <v>1024</v>
      </c>
      <c r="D27" s="2">
        <f t="shared" si="12"/>
        <v>762.939453125</v>
      </c>
      <c r="E27">
        <v>1</v>
      </c>
      <c r="F27">
        <f t="shared" si="13"/>
        <v>200</v>
      </c>
      <c r="G27">
        <v>1</v>
      </c>
      <c r="H27">
        <v>1024</v>
      </c>
      <c r="I27">
        <v>1</v>
      </c>
      <c r="J27">
        <v>32</v>
      </c>
      <c r="K27">
        <v>1</v>
      </c>
      <c r="L27">
        <f t="shared" si="14"/>
        <v>4</v>
      </c>
      <c r="M27">
        <f t="shared" si="15"/>
        <v>200</v>
      </c>
      <c r="N27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2.2351980209350586</v>
      </c>
    </row>
    <row r="28" spans="1:14" x14ac:dyDescent="0.3">
      <c r="A28">
        <v>1</v>
      </c>
      <c r="B28">
        <v>100</v>
      </c>
      <c r="C28">
        <v>1024</v>
      </c>
      <c r="D28" s="2">
        <f t="shared" si="12"/>
        <v>381.4697265625</v>
      </c>
      <c r="E28">
        <v>2</v>
      </c>
      <c r="F28">
        <f t="shared" si="13"/>
        <v>200</v>
      </c>
      <c r="G28">
        <v>2</v>
      </c>
      <c r="H28">
        <v>1024</v>
      </c>
      <c r="I28">
        <v>2</v>
      </c>
      <c r="J28">
        <v>32</v>
      </c>
      <c r="K28">
        <v>1</v>
      </c>
      <c r="L28">
        <f t="shared" si="14"/>
        <v>7</v>
      </c>
      <c r="M28">
        <f t="shared" si="15"/>
        <v>200</v>
      </c>
      <c r="N28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2.2351980209350586</v>
      </c>
    </row>
    <row r="29" spans="1:14" x14ac:dyDescent="0.3">
      <c r="A29">
        <v>1</v>
      </c>
      <c r="B29">
        <v>100</v>
      </c>
      <c r="C29">
        <v>1024</v>
      </c>
      <c r="D29" s="2">
        <f t="shared" si="12"/>
        <v>381.4697265625</v>
      </c>
      <c r="E29">
        <v>2</v>
      </c>
      <c r="F29">
        <f t="shared" si="13"/>
        <v>200</v>
      </c>
      <c r="G29">
        <v>4</v>
      </c>
      <c r="H29">
        <v>1024</v>
      </c>
      <c r="I29">
        <v>4</v>
      </c>
      <c r="J29">
        <v>32</v>
      </c>
      <c r="K29">
        <v>1</v>
      </c>
      <c r="L29">
        <f t="shared" si="14"/>
        <v>11</v>
      </c>
      <c r="M29">
        <f t="shared" si="15"/>
        <v>200</v>
      </c>
      <c r="N29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2.2351980209350586</v>
      </c>
    </row>
    <row r="30" spans="1:14" x14ac:dyDescent="0.3">
      <c r="A30">
        <v>1</v>
      </c>
      <c r="B30">
        <v>100</v>
      </c>
      <c r="C30">
        <v>1024</v>
      </c>
      <c r="D30" s="2">
        <f t="shared" ref="D30:D32" si="16">((A30*1000000)*B30*4)/1024/1024</f>
        <v>381.4697265625</v>
      </c>
      <c r="E30">
        <v>1</v>
      </c>
      <c r="F30">
        <f t="shared" ref="F30:F32" si="17">E30*B30</f>
        <v>100</v>
      </c>
      <c r="G30">
        <v>1</v>
      </c>
      <c r="H30">
        <v>4096</v>
      </c>
      <c r="I30">
        <v>1</v>
      </c>
      <c r="J30">
        <v>32</v>
      </c>
      <c r="K30">
        <v>1</v>
      </c>
      <c r="L30">
        <f t="shared" ref="L30:L32" si="18">K30+I30+G30+E30</f>
        <v>4</v>
      </c>
      <c r="M30">
        <f t="shared" ref="M30:M32" si="19">F30*A30</f>
        <v>100</v>
      </c>
      <c r="N30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1.1175990104675293</v>
      </c>
    </row>
    <row r="31" spans="1:14" x14ac:dyDescent="0.3">
      <c r="A31">
        <v>1</v>
      </c>
      <c r="B31">
        <v>50</v>
      </c>
      <c r="C31">
        <v>1024</v>
      </c>
      <c r="D31" s="2">
        <f t="shared" si="16"/>
        <v>190.73486328125</v>
      </c>
      <c r="E31">
        <v>2</v>
      </c>
      <c r="F31">
        <f t="shared" si="17"/>
        <v>100</v>
      </c>
      <c r="G31">
        <v>2</v>
      </c>
      <c r="H31">
        <v>4096</v>
      </c>
      <c r="I31">
        <v>2</v>
      </c>
      <c r="J31">
        <v>32</v>
      </c>
      <c r="K31">
        <v>1</v>
      </c>
      <c r="L31">
        <f t="shared" si="18"/>
        <v>7</v>
      </c>
      <c r="M31">
        <f t="shared" si="19"/>
        <v>100</v>
      </c>
      <c r="N31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1.1175990104675293</v>
      </c>
    </row>
    <row r="32" spans="1:14" x14ac:dyDescent="0.3">
      <c r="A32">
        <v>1</v>
      </c>
      <c r="B32">
        <v>50</v>
      </c>
      <c r="C32">
        <v>1024</v>
      </c>
      <c r="D32" s="2">
        <f t="shared" si="16"/>
        <v>190.73486328125</v>
      </c>
      <c r="E32">
        <v>2</v>
      </c>
      <c r="F32">
        <f t="shared" si="17"/>
        <v>100</v>
      </c>
      <c r="G32">
        <v>4</v>
      </c>
      <c r="H32">
        <v>4096</v>
      </c>
      <c r="I32">
        <v>4</v>
      </c>
      <c r="J32">
        <v>32</v>
      </c>
      <c r="K32">
        <v>1</v>
      </c>
      <c r="L32">
        <f t="shared" si="18"/>
        <v>11</v>
      </c>
      <c r="M32">
        <f t="shared" si="19"/>
        <v>100</v>
      </c>
      <c r="N32" s="2">
        <f>(((Table1[[#This Row],[Sample Rate (MS/s)]]*1000000)*4*Table1[[#This Row],[Total Channels]]) + (IF(Table1[[#This Row],[N-FFT''s]]&gt;0,Table1[[#This Row],[Total Channels]],0) * Table1[[#This Row],[Sample Rate (MS/s)]]*1000000*4) + (IF(Table1[[#This Row],[N-Peak]]&gt;0,Table1[[#This Row],[Total Channels]],0)*32*4) + (IF(Table1[[#This Row],[N-Viewers]]&gt;0,Table1[[#This Row],[Total Channels]],0)*Table1[[#This Row],[Sample Rate (MS/s)]]*1000000*4))/1024/1024/1024</f>
        <v>1.1175990104675293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Honea</dc:creator>
  <cp:lastModifiedBy>Joseph Honea</cp:lastModifiedBy>
  <dcterms:created xsi:type="dcterms:W3CDTF">2023-08-31T16:20:50Z</dcterms:created>
  <dcterms:modified xsi:type="dcterms:W3CDTF">2023-09-01T01:30:13Z</dcterms:modified>
</cp:coreProperties>
</file>